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search\LCA_case_study\"/>
    </mc:Choice>
  </mc:AlternateContent>
  <xr:revisionPtr revIDLastSave="0" documentId="13_ncr:1_{568EA756-F124-4834-9C81-426F4966D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Info" sheetId="2" r:id="rId1"/>
    <sheet name="A-D" sheetId="1" r:id="rId2"/>
    <sheet name="B6_Operation" sheetId="3" r:id="rId3"/>
    <sheet name="LCA Summary" sheetId="5" r:id="rId4"/>
    <sheet name="Primary Energy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6" l="1"/>
  <c r="J5" i="6"/>
  <c r="J3" i="6"/>
  <c r="I5" i="6"/>
  <c r="I4" i="6"/>
  <c r="I3" i="6"/>
  <c r="G5" i="6"/>
  <c r="G4" i="6"/>
  <c r="G3" i="6"/>
  <c r="H5" i="6"/>
  <c r="H4" i="6"/>
  <c r="H3" i="6"/>
  <c r="C5" i="6"/>
  <c r="C4" i="6"/>
  <c r="C3" i="6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N40" i="1"/>
  <c r="M40" i="1"/>
  <c r="L40" i="1"/>
  <c r="K40" i="1"/>
  <c r="J40" i="1"/>
  <c r="J5" i="1"/>
  <c r="M5" i="1"/>
  <c r="D8" i="3"/>
  <c r="D6" i="3"/>
  <c r="D4" i="3"/>
  <c r="D9" i="3" s="1"/>
  <c r="B3" i="5" s="1"/>
  <c r="C4" i="5" s="1"/>
  <c r="N38" i="1"/>
  <c r="N32" i="1"/>
  <c r="N13" i="1"/>
  <c r="N14" i="1"/>
  <c r="N22" i="1"/>
  <c r="N19" i="1"/>
  <c r="N8" i="1"/>
  <c r="J19" i="1"/>
  <c r="L19" i="1" s="1"/>
  <c r="J21" i="1"/>
  <c r="L21" i="1" s="1"/>
  <c r="J10" i="1"/>
  <c r="M10" i="1" s="1"/>
  <c r="J12" i="1"/>
  <c r="M12" i="1" s="1"/>
  <c r="J30" i="1"/>
  <c r="J7" i="1"/>
  <c r="L7" i="1" s="1"/>
  <c r="G34" i="1"/>
  <c r="J34" i="1" s="1"/>
  <c r="G38" i="1"/>
  <c r="J38" i="1" s="1"/>
  <c r="G37" i="1"/>
  <c r="J37" i="1" s="1"/>
  <c r="G33" i="1"/>
  <c r="J33" i="1" s="1"/>
  <c r="G32" i="1"/>
  <c r="G31" i="1"/>
  <c r="J31" i="1" s="1"/>
  <c r="M31" i="1" s="1"/>
  <c r="G26" i="1"/>
  <c r="G25" i="1"/>
  <c r="G22" i="1"/>
  <c r="J22" i="1" s="1"/>
  <c r="G21" i="1"/>
  <c r="G20" i="1"/>
  <c r="J20" i="1" s="1"/>
  <c r="G19" i="1"/>
  <c r="G18" i="1"/>
  <c r="J18" i="1" s="1"/>
  <c r="G17" i="1"/>
  <c r="J17" i="1" s="1"/>
  <c r="G16" i="1"/>
  <c r="J16" i="1" s="1"/>
  <c r="G15" i="1"/>
  <c r="J15" i="1" s="1"/>
  <c r="G12" i="1"/>
  <c r="G13" i="1" s="1"/>
  <c r="G11" i="1"/>
  <c r="J11" i="1" s="1"/>
  <c r="G10" i="1"/>
  <c r="G9" i="1"/>
  <c r="J9" i="1" s="1"/>
  <c r="G8" i="1"/>
  <c r="J8" i="1" s="1"/>
  <c r="E12" i="1"/>
  <c r="E34" i="1"/>
  <c r="E33" i="1"/>
  <c r="E38" i="1"/>
  <c r="E37" i="1"/>
  <c r="E36" i="1"/>
  <c r="G36" i="1"/>
  <c r="J36" i="1" s="1"/>
  <c r="M36" i="1" s="1"/>
  <c r="G35" i="1"/>
  <c r="J35" i="1" s="1"/>
  <c r="M35" i="1" s="1"/>
  <c r="M30" i="1"/>
  <c r="K30" i="1"/>
  <c r="E30" i="1"/>
  <c r="G27" i="1"/>
  <c r="J27" i="1" s="1"/>
  <c r="M27" i="1" s="1"/>
  <c r="J26" i="1"/>
  <c r="M26" i="1" s="1"/>
  <c r="E27" i="1"/>
  <c r="E26" i="1"/>
  <c r="E29" i="1"/>
  <c r="E28" i="1"/>
  <c r="G29" i="1"/>
  <c r="J29" i="1" s="1"/>
  <c r="L29" i="1" s="1"/>
  <c r="G28" i="1"/>
  <c r="J28" i="1" s="1"/>
  <c r="L28" i="1" s="1"/>
  <c r="E32" i="1"/>
  <c r="E31" i="1"/>
  <c r="J32" i="1"/>
  <c r="M32" i="1" s="1"/>
  <c r="J24" i="1"/>
  <c r="M24" i="1" s="1"/>
  <c r="J6" i="1"/>
  <c r="M6" i="1" s="1"/>
  <c r="J25" i="1"/>
  <c r="M25" i="1" s="1"/>
  <c r="G23" i="1"/>
  <c r="J23" i="1" s="1"/>
  <c r="M23" i="1" s="1"/>
  <c r="E23" i="1"/>
  <c r="E24" i="1"/>
  <c r="E16" i="1"/>
  <c r="E15" i="1"/>
  <c r="E13" i="1"/>
  <c r="E21" i="1"/>
  <c r="E18" i="1"/>
  <c r="E19" i="1"/>
  <c r="E11" i="1"/>
  <c r="E14" i="1"/>
  <c r="E9" i="1"/>
  <c r="E6" i="1"/>
  <c r="E7" i="1"/>
  <c r="E8" i="1"/>
  <c r="E10" i="1"/>
  <c r="E17" i="1"/>
  <c r="E20" i="1"/>
  <c r="E22" i="1"/>
  <c r="E25" i="1"/>
  <c r="E35" i="1"/>
  <c r="E5" i="1"/>
  <c r="I7" i="6" l="1"/>
  <c r="J7" i="6"/>
  <c r="L5" i="1"/>
  <c r="M8" i="1"/>
  <c r="L8" i="1"/>
  <c r="G14" i="1"/>
  <c r="J14" i="1" s="1"/>
  <c r="J13" i="1"/>
  <c r="M16" i="1"/>
  <c r="L16" i="1"/>
  <c r="M18" i="1"/>
  <c r="L18" i="1"/>
  <c r="M20" i="1"/>
  <c r="L20" i="1"/>
  <c r="M22" i="1"/>
  <c r="L22" i="1"/>
  <c r="L37" i="1"/>
  <c r="M37" i="1"/>
  <c r="M34" i="1"/>
  <c r="L34" i="1"/>
  <c r="L9" i="1"/>
  <c r="M9" i="1"/>
  <c r="L11" i="1"/>
  <c r="M11" i="1"/>
  <c r="L15" i="1"/>
  <c r="M15" i="1"/>
  <c r="L17" i="1"/>
  <c r="M17" i="1"/>
  <c r="L33" i="1"/>
  <c r="M33" i="1"/>
  <c r="M38" i="1"/>
  <c r="L38" i="1"/>
  <c r="L12" i="1"/>
  <c r="L10" i="1"/>
  <c r="M29" i="1"/>
  <c r="M21" i="1"/>
  <c r="M19" i="1"/>
  <c r="M7" i="1"/>
  <c r="M28" i="1"/>
  <c r="L35" i="1"/>
  <c r="L36" i="1"/>
  <c r="L30" i="1"/>
  <c r="L26" i="1"/>
  <c r="L27" i="1"/>
  <c r="L23" i="1"/>
  <c r="L25" i="1"/>
  <c r="L32" i="1"/>
  <c r="L6" i="1"/>
  <c r="L24" i="1"/>
  <c r="L31" i="1"/>
  <c r="L13" i="1" l="1"/>
  <c r="M13" i="1"/>
  <c r="M14" i="1"/>
  <c r="L14" i="1"/>
</calcChain>
</file>

<file path=xl/sharedStrings.xml><?xml version="1.0" encoding="utf-8"?>
<sst xmlns="http://schemas.openxmlformats.org/spreadsheetml/2006/main" count="254" uniqueCount="144">
  <si>
    <t>m3</t>
  </si>
  <si>
    <t>m2</t>
  </si>
  <si>
    <t>Total</t>
  </si>
  <si>
    <t>years</t>
  </si>
  <si>
    <t>Total area</t>
  </si>
  <si>
    <t>DGNB Benchmarking</t>
  </si>
  <si>
    <t>Cooling EUI (Electricity)</t>
  </si>
  <si>
    <t>Lighting/Equipment EUI (Electricity)</t>
  </si>
  <si>
    <t>Heating EUI (Heating)</t>
  </si>
  <si>
    <t>DGNB Standard Certification Scope</t>
  </si>
  <si>
    <t>RSL(Reference service life)</t>
  </si>
  <si>
    <t>Material</t>
  </si>
  <si>
    <t>Concrete_C25</t>
  </si>
  <si>
    <t>Steel</t>
  </si>
  <si>
    <t>Component</t>
  </si>
  <si>
    <t>Structure</t>
  </si>
  <si>
    <t>Envelope</t>
  </si>
  <si>
    <t>Glass</t>
  </si>
  <si>
    <t>Interior</t>
  </si>
  <si>
    <t>Gypsum Board</t>
  </si>
  <si>
    <t>Quantity</t>
  </si>
  <si>
    <t>Unit</t>
  </si>
  <si>
    <t>Remark</t>
  </si>
  <si>
    <t>100kg steel / m3 concrete, 50*100kg=5000</t>
  </si>
  <si>
    <t>B6_Operation</t>
  </si>
  <si>
    <t>A1-A3 account for 70%-80% of embedded carbon</t>
  </si>
  <si>
    <t>Building information</t>
  </si>
  <si>
    <t>MEP</t>
  </si>
  <si>
    <t>Foundation</t>
  </si>
  <si>
    <t>Facade</t>
  </si>
  <si>
    <t>Insulation</t>
  </si>
  <si>
    <t>Walls</t>
  </si>
  <si>
    <t>Floor</t>
  </si>
  <si>
    <t>HVAC</t>
  </si>
  <si>
    <t>Lighting</t>
  </si>
  <si>
    <t>Slab</t>
  </si>
  <si>
    <t>Columns</t>
  </si>
  <si>
    <t>Rebar</t>
  </si>
  <si>
    <t>External Wall</t>
  </si>
  <si>
    <t>Windows</t>
  </si>
  <si>
    <t>Roof</t>
  </si>
  <si>
    <t>Internal Walls</t>
  </si>
  <si>
    <t>Ceiling</t>
  </si>
  <si>
    <t>Plumbing</t>
  </si>
  <si>
    <t>Level1</t>
  </si>
  <si>
    <t>Level2</t>
  </si>
  <si>
    <t>Substructure</t>
  </si>
  <si>
    <t>Superstructure</t>
  </si>
  <si>
    <t>Reinforcement</t>
  </si>
  <si>
    <t>Openings</t>
  </si>
  <si>
    <t>Roof Build-up</t>
  </si>
  <si>
    <t>Suspended Ceiling</t>
  </si>
  <si>
    <t>Carpet / Finish</t>
  </si>
  <si>
    <t>Lifetime</t>
  </si>
  <si>
    <t>Electrical</t>
  </si>
  <si>
    <t>HVAC System</t>
  </si>
  <si>
    <t>Replacement</t>
  </si>
  <si>
    <t>Concrete</t>
  </si>
  <si>
    <t>Plaster</t>
  </si>
  <si>
    <t>Steel Stud</t>
  </si>
  <si>
    <t>Carpet</t>
  </si>
  <si>
    <t>Mineral Fiber Board</t>
  </si>
  <si>
    <t>Steel Grid</t>
  </si>
  <si>
    <t>Bitumen membrane</t>
  </si>
  <si>
    <t>AHU</t>
  </si>
  <si>
    <t>ASHP</t>
  </si>
  <si>
    <t>FCU</t>
  </si>
  <si>
    <t>2,500 kg/ AHU * 2</t>
  </si>
  <si>
    <t>kg</t>
  </si>
  <si>
    <t>3000 kg/ ASHP * 1</t>
  </si>
  <si>
    <t>Luminaire</t>
  </si>
  <si>
    <t>Cable</t>
  </si>
  <si>
    <t>Air duct system</t>
  </si>
  <si>
    <t>Water vascular system</t>
  </si>
  <si>
    <t>15 kg/m²</t>
  </si>
  <si>
    <t>8 kg/m²</t>
  </si>
  <si>
    <t>Circulating water pump</t>
  </si>
  <si>
    <t>Radiators</t>
  </si>
  <si>
    <t>HVAC Process: 1.ASHP generate cooling/ heating source (generation sys)</t>
  </si>
  <si>
    <t>4. by air pipe (Distribution sys)</t>
  </si>
  <si>
    <t>2.by Circulating water pump and water pipe (Distribution sys)</t>
  </si>
  <si>
    <t>3. AHU process air (Terminal_central level)</t>
  </si>
  <si>
    <t>5. FCU (Terminal_room level)</t>
  </si>
  <si>
    <t>80 kg / pump, 1 pump / 2000 m²</t>
  </si>
  <si>
    <t>Refrigerant</t>
  </si>
  <si>
    <t>B1–B2</t>
  </si>
  <si>
    <t>A1-A3 (kg CO2)</t>
  </si>
  <si>
    <t>GWP = 675，leakage = 2%/year, 5kg left at C</t>
  </si>
  <si>
    <t>Domestic water system</t>
  </si>
  <si>
    <t>Sanitary fixtures</t>
  </si>
  <si>
    <t>22 kg/m² building area</t>
  </si>
  <si>
    <t>30kg /WC,15 kg / wash basin</t>
  </si>
  <si>
    <t>WC&amp;wash basin</t>
  </si>
  <si>
    <t>Pipe insulation</t>
  </si>
  <si>
    <t>Valves</t>
  </si>
  <si>
    <t>Distribution system</t>
  </si>
  <si>
    <t>Switchboards</t>
  </si>
  <si>
    <t>Small power</t>
  </si>
  <si>
    <t>Socket system</t>
  </si>
  <si>
    <t>Facade cladding</t>
  </si>
  <si>
    <t>External wall area ≈ 0.5 × total area</t>
  </si>
  <si>
    <t>Floor number</t>
  </si>
  <si>
    <t>window wall ratio</t>
  </si>
  <si>
    <t>1.0 m²/m²</t>
  </si>
  <si>
    <t>25 kg / unit, 1 unit / 30 m²</t>
  </si>
  <si>
    <t>25 kg/ unit *1 unit / 30 m²</t>
  </si>
  <si>
    <t>Water pipes HVAC</t>
  </si>
  <si>
    <t>hot&amp;cold&amp;drainage water pipes_Plumbing</t>
  </si>
  <si>
    <t>1 unit / 8 m², 5kg / 1 unit,500 × 5 = 2500 kg</t>
  </si>
  <si>
    <t xml:space="preserve">5 kg/m² </t>
  </si>
  <si>
    <t xml:space="preserve">1 main switchboard  300 kg, 3 sub boards  100 kg each </t>
  </si>
  <si>
    <t>2 kg/m²</t>
  </si>
  <si>
    <t>1 kg/m²</t>
  </si>
  <si>
    <t>10 kg/m² window area</t>
  </si>
  <si>
    <t>1 unit / 10 m², 0.2 kg / unit</t>
  </si>
  <si>
    <t xml:space="preserve">GWP Factor </t>
  </si>
  <si>
    <t>300 kg CO₂/m³</t>
  </si>
  <si>
    <t>C_Demolition</t>
  </si>
  <si>
    <t>B4_Replacement</t>
  </si>
  <si>
    <t>A1–A3 + B4 + B6 + C + D</t>
  </si>
  <si>
    <t xml:space="preserve">0.15*A1-A3, except Refrigerant  </t>
  </si>
  <si>
    <t>negligable</t>
  </si>
  <si>
    <t>D_ avoided burden</t>
  </si>
  <si>
    <t>Frame (Aluminum)</t>
  </si>
  <si>
    <t>GWP</t>
  </si>
  <si>
    <t>Total GWP</t>
  </si>
  <si>
    <t>Carbon emission per m2 year</t>
  </si>
  <si>
    <t>Proportion analysis</t>
  </si>
  <si>
    <t>Energy use type</t>
  </si>
  <si>
    <t>EUI</t>
  </si>
  <si>
    <t>PE factor</t>
  </si>
  <si>
    <t>PE(Primary Energy)</t>
  </si>
  <si>
    <t>Heating</t>
  </si>
  <si>
    <t>Cooling</t>
  </si>
  <si>
    <t>Lighting/Equipment</t>
  </si>
  <si>
    <t>RSL</t>
  </si>
  <si>
    <t>PEI(Primary Energy Intensity)</t>
  </si>
  <si>
    <t xml:space="preserve">Total </t>
  </si>
  <si>
    <t>DGNB Gold (100–140)</t>
  </si>
  <si>
    <t>district heat</t>
  </si>
  <si>
    <t>Energy carrier</t>
  </si>
  <si>
    <t>electricity</t>
  </si>
  <si>
    <t>COP</t>
  </si>
  <si>
    <t>Netto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</si>
</sst>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AB0F-8060-46A4-8997-CEF426F1213A}">
  <dimension ref="A2:B12"/>
  <sheetViews>
    <sheetView tabSelected="1" workbookViewId="0">
      <selection activeCell="A9" sqref="A9"/>
    </sheetView>
  </sheetViews>
  <sheetFormatPr defaultRowHeight="14.4" x14ac:dyDescent="0.3"/>
  <cols>
    <col min="2" max="2" width="13.88671875" customWidth="1"/>
  </cols>
  <sheetData>
    <row r="2" spans="1:2" x14ac:dyDescent="0.3">
      <c r="A2" s="2" t="s">
        <v>26</v>
      </c>
    </row>
    <row r="3" spans="1:2" x14ac:dyDescent="0.3">
      <c r="A3" s="2" t="s">
        <v>10</v>
      </c>
    </row>
    <row r="4" spans="1:2" x14ac:dyDescent="0.3">
      <c r="A4" s="4">
        <v>50</v>
      </c>
      <c r="B4" t="s">
        <v>3</v>
      </c>
    </row>
    <row r="5" spans="1:2" x14ac:dyDescent="0.3">
      <c r="A5" s="2" t="s">
        <v>4</v>
      </c>
    </row>
    <row r="6" spans="1:2" x14ac:dyDescent="0.3">
      <c r="A6" s="4">
        <v>4000</v>
      </c>
      <c r="B6" t="s">
        <v>1</v>
      </c>
    </row>
    <row r="7" spans="1:2" x14ac:dyDescent="0.3">
      <c r="A7" s="2" t="s">
        <v>143</v>
      </c>
    </row>
    <row r="8" spans="1:2" x14ac:dyDescent="0.3">
      <c r="A8" s="4">
        <v>3900</v>
      </c>
      <c r="B8" t="s">
        <v>1</v>
      </c>
    </row>
    <row r="9" spans="1:2" x14ac:dyDescent="0.3">
      <c r="A9" s="2" t="s">
        <v>101</v>
      </c>
    </row>
    <row r="10" spans="1:2" x14ac:dyDescent="0.3">
      <c r="A10">
        <v>4</v>
      </c>
    </row>
    <row r="11" spans="1:2" x14ac:dyDescent="0.3">
      <c r="A11" s="2" t="s">
        <v>102</v>
      </c>
    </row>
    <row r="12" spans="1:2" x14ac:dyDescent="0.3">
      <c r="A1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67"/>
  <sheetViews>
    <sheetView topLeftCell="A16" zoomScale="70" zoomScaleNormal="70" workbookViewId="0">
      <selection activeCell="J4" sqref="J4"/>
    </sheetView>
  </sheetViews>
  <sheetFormatPr defaultRowHeight="14.4" x14ac:dyDescent="0.3"/>
  <cols>
    <col min="3" max="3" width="23" customWidth="1"/>
    <col min="4" max="5" width="16.21875" customWidth="1"/>
    <col min="6" max="6" width="25" customWidth="1"/>
    <col min="7" max="7" width="18.88671875" customWidth="1"/>
    <col min="9" max="9" width="31.5546875" customWidth="1"/>
    <col min="10" max="10" width="23.77734375" customWidth="1"/>
    <col min="11" max="11" width="14.33203125" customWidth="1"/>
    <col min="12" max="14" width="17.109375" customWidth="1"/>
    <col min="15" max="15" width="28.21875" customWidth="1"/>
    <col min="16" max="16" width="20.33203125" customWidth="1"/>
  </cols>
  <sheetData>
    <row r="2" spans="1:16" x14ac:dyDescent="0.3">
      <c r="A2" s="2" t="s">
        <v>9</v>
      </c>
      <c r="B2" s="2"/>
      <c r="D2" t="s">
        <v>119</v>
      </c>
      <c r="F2" s="2"/>
      <c r="G2" s="1"/>
    </row>
    <row r="3" spans="1:16" x14ac:dyDescent="0.3">
      <c r="A3" s="2" t="s">
        <v>25</v>
      </c>
      <c r="B3" s="2"/>
      <c r="C3" s="2"/>
      <c r="D3" s="2"/>
      <c r="E3" s="2"/>
      <c r="K3" t="s">
        <v>121</v>
      </c>
      <c r="M3" t="s">
        <v>120</v>
      </c>
    </row>
    <row r="4" spans="1:16" x14ac:dyDescent="0.3">
      <c r="A4" s="2" t="s">
        <v>44</v>
      </c>
      <c r="B4" s="2" t="s">
        <v>45</v>
      </c>
      <c r="C4" s="7" t="s">
        <v>14</v>
      </c>
      <c r="D4" s="2" t="s">
        <v>53</v>
      </c>
      <c r="E4" s="2" t="s">
        <v>56</v>
      </c>
      <c r="F4" s="7" t="s">
        <v>11</v>
      </c>
      <c r="G4" s="7" t="s">
        <v>20</v>
      </c>
      <c r="H4" s="7" t="s">
        <v>21</v>
      </c>
      <c r="I4" s="7" t="s">
        <v>115</v>
      </c>
      <c r="J4" s="7" t="s">
        <v>86</v>
      </c>
      <c r="K4" s="2" t="s">
        <v>85</v>
      </c>
      <c r="L4" s="7" t="s">
        <v>118</v>
      </c>
      <c r="M4" s="7" t="s">
        <v>117</v>
      </c>
      <c r="N4" s="2" t="s">
        <v>122</v>
      </c>
      <c r="O4" s="2" t="s">
        <v>22</v>
      </c>
    </row>
    <row r="5" spans="1:16" x14ac:dyDescent="0.3">
      <c r="A5" t="s">
        <v>15</v>
      </c>
      <c r="B5" t="s">
        <v>46</v>
      </c>
      <c r="C5" t="s">
        <v>28</v>
      </c>
      <c r="D5" s="4">
        <v>80</v>
      </c>
      <c r="E5" s="4">
        <f>INT(50 / D5)</f>
        <v>0</v>
      </c>
      <c r="F5" t="s">
        <v>12</v>
      </c>
      <c r="G5" s="1">
        <v>500</v>
      </c>
      <c r="H5" t="s">
        <v>0</v>
      </c>
      <c r="I5" s="3">
        <v>300</v>
      </c>
      <c r="J5" s="3">
        <f>G5*I5</f>
        <v>150000</v>
      </c>
      <c r="K5" s="3"/>
      <c r="L5" s="3">
        <f>MAX(0,J5 * E5 )</f>
        <v>0</v>
      </c>
      <c r="M5" s="3">
        <f>0.15*J5</f>
        <v>22500</v>
      </c>
      <c r="N5" s="3"/>
      <c r="O5" t="s">
        <v>116</v>
      </c>
      <c r="P5" s="1"/>
    </row>
    <row r="6" spans="1:16" x14ac:dyDescent="0.3">
      <c r="A6" t="s">
        <v>15</v>
      </c>
      <c r="B6" t="s">
        <v>47</v>
      </c>
      <c r="C6" s="6" t="s">
        <v>35</v>
      </c>
      <c r="D6" s="4">
        <v>80</v>
      </c>
      <c r="E6" s="4">
        <f t="shared" ref="E6:E38" si="0">INT(50 / D6)</f>
        <v>0</v>
      </c>
      <c r="F6" t="s">
        <v>12</v>
      </c>
      <c r="G6" s="1">
        <v>1500</v>
      </c>
      <c r="H6" t="s">
        <v>0</v>
      </c>
      <c r="I6" s="3">
        <v>300</v>
      </c>
      <c r="J6" s="3">
        <f>G6*I6</f>
        <v>450000</v>
      </c>
      <c r="K6" s="3"/>
      <c r="L6" s="3">
        <f>MAX(0,J6 * E6 )</f>
        <v>0</v>
      </c>
      <c r="M6" s="3">
        <f t="shared" ref="M6:M38" si="1">0.15*J6</f>
        <v>67500</v>
      </c>
      <c r="N6" s="3"/>
    </row>
    <row r="7" spans="1:16" x14ac:dyDescent="0.3">
      <c r="A7" t="s">
        <v>15</v>
      </c>
      <c r="B7" t="s">
        <v>47</v>
      </c>
      <c r="C7" t="s">
        <v>36</v>
      </c>
      <c r="D7" s="4">
        <v>80</v>
      </c>
      <c r="E7" s="4">
        <f t="shared" si="0"/>
        <v>0</v>
      </c>
      <c r="F7" t="s">
        <v>12</v>
      </c>
      <c r="G7" s="1">
        <v>250</v>
      </c>
      <c r="H7" t="s">
        <v>0</v>
      </c>
      <c r="I7" s="3">
        <v>300</v>
      </c>
      <c r="J7" s="3">
        <f>G7*I7</f>
        <v>75000</v>
      </c>
      <c r="K7" s="3"/>
      <c r="L7" s="3">
        <f t="shared" ref="L7:L22" si="2">MAX(0,J7 * E7 )</f>
        <v>0</v>
      </c>
      <c r="M7" s="3">
        <f t="shared" si="1"/>
        <v>11250</v>
      </c>
      <c r="N7" s="3"/>
      <c r="P7" s="1"/>
    </row>
    <row r="8" spans="1:16" x14ac:dyDescent="0.3">
      <c r="A8" t="s">
        <v>15</v>
      </c>
      <c r="B8" t="s">
        <v>48</v>
      </c>
      <c r="C8" t="s">
        <v>37</v>
      </c>
      <c r="D8" s="4">
        <v>80</v>
      </c>
      <c r="E8" s="4">
        <f t="shared" si="0"/>
        <v>0</v>
      </c>
      <c r="F8" t="s">
        <v>13</v>
      </c>
      <c r="G8" s="1">
        <f>SUM(G5:G7)*100</f>
        <v>225000</v>
      </c>
      <c r="H8" t="s">
        <v>68</v>
      </c>
      <c r="I8" s="3">
        <v>2</v>
      </c>
      <c r="J8" s="3">
        <f t="shared" ref="J8:J12" si="3">G8*I8</f>
        <v>450000</v>
      </c>
      <c r="K8" s="3"/>
      <c r="L8" s="3">
        <f t="shared" si="2"/>
        <v>0</v>
      </c>
      <c r="M8" s="3">
        <f t="shared" si="1"/>
        <v>67500</v>
      </c>
      <c r="N8" s="3">
        <f>-0.8*J8</f>
        <v>-360000</v>
      </c>
      <c r="O8" s="1" t="s">
        <v>23</v>
      </c>
      <c r="P8" s="1"/>
    </row>
    <row r="9" spans="1:16" x14ac:dyDescent="0.3">
      <c r="A9" t="s">
        <v>16</v>
      </c>
      <c r="B9" t="s">
        <v>29</v>
      </c>
      <c r="C9" t="s">
        <v>38</v>
      </c>
      <c r="D9" s="4">
        <v>40</v>
      </c>
      <c r="E9" s="4">
        <f t="shared" si="0"/>
        <v>1</v>
      </c>
      <c r="F9" t="s">
        <v>57</v>
      </c>
      <c r="G9" s="1">
        <f>Project_Info!A6*0.5</f>
        <v>2000</v>
      </c>
      <c r="H9" t="s">
        <v>1</v>
      </c>
      <c r="I9" s="3">
        <v>150</v>
      </c>
      <c r="J9" s="3">
        <f t="shared" si="3"/>
        <v>300000</v>
      </c>
      <c r="K9" s="3"/>
      <c r="L9" s="3">
        <f t="shared" si="2"/>
        <v>300000</v>
      </c>
      <c r="M9" s="3">
        <f t="shared" si="1"/>
        <v>45000</v>
      </c>
      <c r="N9" s="3"/>
      <c r="O9" s="1" t="s">
        <v>100</v>
      </c>
      <c r="P9" s="1"/>
    </row>
    <row r="10" spans="1:16" x14ac:dyDescent="0.3">
      <c r="A10" t="s">
        <v>16</v>
      </c>
      <c r="B10" t="s">
        <v>29</v>
      </c>
      <c r="C10" t="s">
        <v>38</v>
      </c>
      <c r="D10" s="4">
        <v>40</v>
      </c>
      <c r="E10" s="4">
        <f t="shared" si="0"/>
        <v>1</v>
      </c>
      <c r="F10" t="s">
        <v>30</v>
      </c>
      <c r="G10" s="1">
        <f>Project_Info!A6*0.5</f>
        <v>2000</v>
      </c>
      <c r="H10" t="s">
        <v>1</v>
      </c>
      <c r="I10" s="3">
        <v>40</v>
      </c>
      <c r="J10" s="3">
        <f t="shared" si="3"/>
        <v>80000</v>
      </c>
      <c r="K10" s="3"/>
      <c r="L10" s="3">
        <f t="shared" si="2"/>
        <v>80000</v>
      </c>
      <c r="M10" s="3">
        <f t="shared" si="1"/>
        <v>12000</v>
      </c>
      <c r="N10" s="3"/>
      <c r="P10" s="1"/>
    </row>
    <row r="11" spans="1:16" x14ac:dyDescent="0.3">
      <c r="A11" t="s">
        <v>16</v>
      </c>
      <c r="B11" t="s">
        <v>29</v>
      </c>
      <c r="C11" t="s">
        <v>38</v>
      </c>
      <c r="D11" s="4">
        <v>40</v>
      </c>
      <c r="E11" s="4">
        <f t="shared" si="0"/>
        <v>1</v>
      </c>
      <c r="F11" t="s">
        <v>58</v>
      </c>
      <c r="G11" s="1">
        <f>Project_Info!A6*0.5</f>
        <v>2000</v>
      </c>
      <c r="H11" t="s">
        <v>1</v>
      </c>
      <c r="I11" s="3">
        <v>20</v>
      </c>
      <c r="J11" s="3">
        <f t="shared" si="3"/>
        <v>40000</v>
      </c>
      <c r="K11" s="3"/>
      <c r="L11" s="3">
        <f t="shared" si="2"/>
        <v>40000</v>
      </c>
      <c r="M11" s="3">
        <f t="shared" si="1"/>
        <v>6000</v>
      </c>
      <c r="N11" s="3"/>
      <c r="P11" s="1"/>
    </row>
    <row r="12" spans="1:16" x14ac:dyDescent="0.3">
      <c r="A12" t="s">
        <v>16</v>
      </c>
      <c r="B12" t="s">
        <v>29</v>
      </c>
      <c r="C12" t="s">
        <v>38</v>
      </c>
      <c r="D12" s="4">
        <v>41</v>
      </c>
      <c r="E12" s="4">
        <f t="shared" si="0"/>
        <v>1</v>
      </c>
      <c r="F12" t="s">
        <v>99</v>
      </c>
      <c r="G12" s="1">
        <f>Project_Info!A6*0.5</f>
        <v>2000</v>
      </c>
      <c r="H12" t="s">
        <v>1</v>
      </c>
      <c r="I12" s="3">
        <v>100</v>
      </c>
      <c r="J12" s="3">
        <f t="shared" si="3"/>
        <v>200000</v>
      </c>
      <c r="K12" s="3"/>
      <c r="L12" s="3">
        <f t="shared" si="2"/>
        <v>200000</v>
      </c>
      <c r="M12" s="3">
        <f t="shared" si="1"/>
        <v>30000</v>
      </c>
      <c r="N12" s="3"/>
      <c r="P12" s="1"/>
    </row>
    <row r="13" spans="1:16" x14ac:dyDescent="0.3">
      <c r="A13" t="s">
        <v>16</v>
      </c>
      <c r="B13" t="s">
        <v>49</v>
      </c>
      <c r="C13" t="s">
        <v>39</v>
      </c>
      <c r="D13" s="4">
        <v>30</v>
      </c>
      <c r="E13" s="4">
        <f t="shared" si="0"/>
        <v>1</v>
      </c>
      <c r="F13" t="s">
        <v>17</v>
      </c>
      <c r="G13" s="1">
        <f>G12*Project_Info!A12</f>
        <v>800</v>
      </c>
      <c r="H13" t="s">
        <v>1</v>
      </c>
      <c r="I13" s="3">
        <v>40</v>
      </c>
      <c r="J13" s="3">
        <f>G13*I13</f>
        <v>32000</v>
      </c>
      <c r="K13" s="3"/>
      <c r="L13" s="3">
        <f t="shared" si="2"/>
        <v>32000</v>
      </c>
      <c r="M13" s="3">
        <f t="shared" si="1"/>
        <v>4800</v>
      </c>
      <c r="N13" s="3">
        <f>-0.2*J13</f>
        <v>-6400</v>
      </c>
      <c r="P13" s="1"/>
    </row>
    <row r="14" spans="1:16" x14ac:dyDescent="0.3">
      <c r="A14" t="s">
        <v>16</v>
      </c>
      <c r="B14" t="s">
        <v>49</v>
      </c>
      <c r="C14" t="s">
        <v>39</v>
      </c>
      <c r="D14" s="4">
        <v>40</v>
      </c>
      <c r="E14" s="4">
        <f t="shared" si="0"/>
        <v>1</v>
      </c>
      <c r="F14" t="s">
        <v>123</v>
      </c>
      <c r="G14" s="1">
        <f>10*G13</f>
        <v>8000</v>
      </c>
      <c r="H14" t="s">
        <v>68</v>
      </c>
      <c r="I14" s="3">
        <v>6</v>
      </c>
      <c r="J14" s="3">
        <f>G14*I14</f>
        <v>48000</v>
      </c>
      <c r="K14" s="3"/>
      <c r="L14" s="3">
        <f t="shared" si="2"/>
        <v>48000</v>
      </c>
      <c r="M14" s="3">
        <f t="shared" si="1"/>
        <v>7200</v>
      </c>
      <c r="N14" s="3">
        <f>-0.6*J14</f>
        <v>-28800</v>
      </c>
      <c r="O14" t="s">
        <v>113</v>
      </c>
      <c r="P14" s="1"/>
    </row>
    <row r="15" spans="1:16" x14ac:dyDescent="0.3">
      <c r="A15" t="s">
        <v>16</v>
      </c>
      <c r="B15" t="s">
        <v>40</v>
      </c>
      <c r="C15" t="s">
        <v>50</v>
      </c>
      <c r="D15" s="4">
        <v>80</v>
      </c>
      <c r="E15" s="4">
        <f t="shared" si="0"/>
        <v>0</v>
      </c>
      <c r="F15" t="s">
        <v>57</v>
      </c>
      <c r="G15" s="1">
        <f>Project_Info!A6/Project_Info!A10</f>
        <v>1000</v>
      </c>
      <c r="H15" t="s">
        <v>1</v>
      </c>
      <c r="I15" s="3">
        <v>250</v>
      </c>
      <c r="J15" s="3">
        <f t="shared" ref="J15:J22" si="4">G15*I15</f>
        <v>250000</v>
      </c>
      <c r="K15" s="3"/>
      <c r="L15" s="3">
        <f t="shared" si="2"/>
        <v>0</v>
      </c>
      <c r="M15" s="3">
        <f t="shared" si="1"/>
        <v>37500</v>
      </c>
      <c r="N15" s="3"/>
      <c r="P15" s="1"/>
    </row>
    <row r="16" spans="1:16" x14ac:dyDescent="0.3">
      <c r="A16" t="s">
        <v>16</v>
      </c>
      <c r="B16" t="s">
        <v>40</v>
      </c>
      <c r="C16" t="s">
        <v>50</v>
      </c>
      <c r="D16" s="4">
        <v>35</v>
      </c>
      <c r="E16" s="4">
        <f t="shared" si="0"/>
        <v>1</v>
      </c>
      <c r="F16" t="s">
        <v>30</v>
      </c>
      <c r="G16" s="1">
        <f>Project_Info!A6/Project_Info!A10</f>
        <v>1000</v>
      </c>
      <c r="H16" t="s">
        <v>1</v>
      </c>
      <c r="I16" s="3">
        <v>50</v>
      </c>
      <c r="J16" s="3">
        <f t="shared" si="4"/>
        <v>50000</v>
      </c>
      <c r="K16" s="3"/>
      <c r="L16" s="3">
        <f t="shared" si="2"/>
        <v>50000</v>
      </c>
      <c r="M16" s="3">
        <f t="shared" si="1"/>
        <v>7500</v>
      </c>
      <c r="N16" s="3"/>
      <c r="P16" s="1"/>
    </row>
    <row r="17" spans="1:16" x14ac:dyDescent="0.3">
      <c r="A17" t="s">
        <v>16</v>
      </c>
      <c r="B17" t="s">
        <v>40</v>
      </c>
      <c r="C17" t="s">
        <v>50</v>
      </c>
      <c r="D17" s="4">
        <v>20</v>
      </c>
      <c r="E17" s="4">
        <f t="shared" si="0"/>
        <v>2</v>
      </c>
      <c r="F17" t="s">
        <v>63</v>
      </c>
      <c r="G17" s="1">
        <f>Project_Info!A6/Project_Info!A10</f>
        <v>1000</v>
      </c>
      <c r="H17" t="s">
        <v>1</v>
      </c>
      <c r="I17" s="3">
        <v>15</v>
      </c>
      <c r="J17" s="3">
        <f t="shared" si="4"/>
        <v>15000</v>
      </c>
      <c r="K17" s="3"/>
      <c r="L17" s="3">
        <f t="shared" si="2"/>
        <v>30000</v>
      </c>
      <c r="M17" s="3">
        <f t="shared" si="1"/>
        <v>2250</v>
      </c>
      <c r="N17" s="3"/>
      <c r="P17" s="1"/>
    </row>
    <row r="18" spans="1:16" x14ac:dyDescent="0.3">
      <c r="A18" t="s">
        <v>18</v>
      </c>
      <c r="B18" t="s">
        <v>31</v>
      </c>
      <c r="C18" t="s">
        <v>41</v>
      </c>
      <c r="D18" s="4">
        <v>25</v>
      </c>
      <c r="E18" s="4">
        <f t="shared" si="0"/>
        <v>2</v>
      </c>
      <c r="F18" t="s">
        <v>19</v>
      </c>
      <c r="G18" s="1">
        <f>1*Project_Info!A6</f>
        <v>4000</v>
      </c>
      <c r="H18" t="s">
        <v>1</v>
      </c>
      <c r="I18" s="3">
        <v>15</v>
      </c>
      <c r="J18" s="3">
        <f t="shared" si="4"/>
        <v>60000</v>
      </c>
      <c r="L18" s="3">
        <f t="shared" si="2"/>
        <v>120000</v>
      </c>
      <c r="M18" s="3">
        <f t="shared" si="1"/>
        <v>9000</v>
      </c>
      <c r="N18" s="3"/>
      <c r="O18" t="s">
        <v>103</v>
      </c>
    </row>
    <row r="19" spans="1:16" x14ac:dyDescent="0.3">
      <c r="A19" t="s">
        <v>18</v>
      </c>
      <c r="B19" t="s">
        <v>31</v>
      </c>
      <c r="C19" t="s">
        <v>41</v>
      </c>
      <c r="D19" s="4">
        <v>50</v>
      </c>
      <c r="E19" s="4">
        <f t="shared" si="0"/>
        <v>1</v>
      </c>
      <c r="F19" t="s">
        <v>59</v>
      </c>
      <c r="G19" s="1">
        <f>1*Project_Info!A6</f>
        <v>4000</v>
      </c>
      <c r="H19" t="s">
        <v>1</v>
      </c>
      <c r="I19" s="3">
        <v>25</v>
      </c>
      <c r="J19" s="3">
        <f t="shared" si="4"/>
        <v>100000</v>
      </c>
      <c r="L19" s="3">
        <f t="shared" si="2"/>
        <v>100000</v>
      </c>
      <c r="M19" s="3">
        <f t="shared" si="1"/>
        <v>15000</v>
      </c>
      <c r="N19" s="3">
        <f>-0.8*J19</f>
        <v>-80000</v>
      </c>
    </row>
    <row r="20" spans="1:16" x14ac:dyDescent="0.3">
      <c r="A20" t="s">
        <v>18</v>
      </c>
      <c r="B20" t="s">
        <v>32</v>
      </c>
      <c r="C20" t="s">
        <v>52</v>
      </c>
      <c r="D20" s="4">
        <v>10</v>
      </c>
      <c r="E20" s="4">
        <f t="shared" si="0"/>
        <v>5</v>
      </c>
      <c r="F20" t="s">
        <v>60</v>
      </c>
      <c r="G20" s="1">
        <f>Project_Info!A6</f>
        <v>4000</v>
      </c>
      <c r="H20" t="s">
        <v>1</v>
      </c>
      <c r="I20" s="3">
        <v>30</v>
      </c>
      <c r="J20" s="3">
        <f t="shared" si="4"/>
        <v>120000</v>
      </c>
      <c r="L20" s="3">
        <f t="shared" si="2"/>
        <v>600000</v>
      </c>
      <c r="M20" s="3">
        <f t="shared" si="1"/>
        <v>18000</v>
      </c>
      <c r="N20" s="3"/>
    </row>
    <row r="21" spans="1:16" x14ac:dyDescent="0.3">
      <c r="A21" t="s">
        <v>18</v>
      </c>
      <c r="B21" t="s">
        <v>42</v>
      </c>
      <c r="C21" t="s">
        <v>51</v>
      </c>
      <c r="D21" s="4">
        <v>20</v>
      </c>
      <c r="E21" s="4">
        <f t="shared" si="0"/>
        <v>2</v>
      </c>
      <c r="F21" t="s">
        <v>61</v>
      </c>
      <c r="G21" s="1">
        <f>Project_Info!A6</f>
        <v>4000</v>
      </c>
      <c r="H21" t="s">
        <v>1</v>
      </c>
      <c r="I21" s="3">
        <v>20</v>
      </c>
      <c r="J21" s="3">
        <f t="shared" si="4"/>
        <v>80000</v>
      </c>
      <c r="L21" s="3">
        <f t="shared" si="2"/>
        <v>160000</v>
      </c>
      <c r="M21" s="3">
        <f t="shared" si="1"/>
        <v>12000</v>
      </c>
      <c r="N21" s="3"/>
    </row>
    <row r="22" spans="1:16" x14ac:dyDescent="0.3">
      <c r="A22" t="s">
        <v>18</v>
      </c>
      <c r="B22" t="s">
        <v>42</v>
      </c>
      <c r="C22" t="s">
        <v>51</v>
      </c>
      <c r="D22" s="4">
        <v>50</v>
      </c>
      <c r="E22" s="4">
        <f t="shared" si="0"/>
        <v>1</v>
      </c>
      <c r="F22" t="s">
        <v>62</v>
      </c>
      <c r="G22" s="1">
        <f>Project_Info!A6</f>
        <v>4000</v>
      </c>
      <c r="H22" t="s">
        <v>1</v>
      </c>
      <c r="I22" s="3">
        <v>15</v>
      </c>
      <c r="J22" s="3">
        <f t="shared" si="4"/>
        <v>60000</v>
      </c>
      <c r="L22" s="3">
        <f t="shared" si="2"/>
        <v>60000</v>
      </c>
      <c r="M22" s="3">
        <f t="shared" si="1"/>
        <v>9000</v>
      </c>
      <c r="N22" s="3">
        <f>-0.8*J22</f>
        <v>-48000</v>
      </c>
    </row>
    <row r="23" spans="1:16" x14ac:dyDescent="0.3">
      <c r="A23" t="s">
        <v>27</v>
      </c>
      <c r="B23" t="s">
        <v>33</v>
      </c>
      <c r="C23" t="s">
        <v>55</v>
      </c>
      <c r="D23" s="4">
        <v>20</v>
      </c>
      <c r="E23" s="4">
        <f t="shared" si="0"/>
        <v>2</v>
      </c>
      <c r="F23" t="s">
        <v>64</v>
      </c>
      <c r="G23" s="1">
        <f>2*2500</f>
        <v>5000</v>
      </c>
      <c r="H23" t="s">
        <v>68</v>
      </c>
      <c r="I23" s="3">
        <v>2.8</v>
      </c>
      <c r="J23" s="3">
        <f>G23*I23</f>
        <v>14000</v>
      </c>
      <c r="K23" s="3"/>
      <c r="L23" s="3">
        <f>MAX(0,J23 * E23 )</f>
        <v>28000</v>
      </c>
      <c r="M23" s="3">
        <f t="shared" si="1"/>
        <v>2100</v>
      </c>
      <c r="N23" s="3"/>
      <c r="O23" t="s">
        <v>67</v>
      </c>
      <c r="P23" t="s">
        <v>78</v>
      </c>
    </row>
    <row r="24" spans="1:16" x14ac:dyDescent="0.3">
      <c r="A24" t="s">
        <v>27</v>
      </c>
      <c r="B24" t="s">
        <v>33</v>
      </c>
      <c r="C24" t="s">
        <v>55</v>
      </c>
      <c r="D24" s="4">
        <v>15</v>
      </c>
      <c r="E24" s="4">
        <f t="shared" si="0"/>
        <v>3</v>
      </c>
      <c r="F24" t="s">
        <v>65</v>
      </c>
      <c r="G24" s="1">
        <v>3000</v>
      </c>
      <c r="H24" t="s">
        <v>68</v>
      </c>
      <c r="I24" s="3">
        <v>3.2</v>
      </c>
      <c r="J24" s="3">
        <f>G24*I24</f>
        <v>9600</v>
      </c>
      <c r="K24" s="3"/>
      <c r="L24" s="3">
        <f>MAX(0,J24 * E24 )</f>
        <v>28800</v>
      </c>
      <c r="M24" s="3">
        <f t="shared" si="1"/>
        <v>1440</v>
      </c>
      <c r="N24" s="3"/>
      <c r="O24" t="s">
        <v>69</v>
      </c>
      <c r="P24" t="s">
        <v>80</v>
      </c>
    </row>
    <row r="25" spans="1:16" x14ac:dyDescent="0.3">
      <c r="A25" t="s">
        <v>27</v>
      </c>
      <c r="B25" t="s">
        <v>33</v>
      </c>
      <c r="C25" t="s">
        <v>55</v>
      </c>
      <c r="D25" s="4">
        <v>20</v>
      </c>
      <c r="E25" s="4">
        <f t="shared" si="0"/>
        <v>2</v>
      </c>
      <c r="F25" t="s">
        <v>66</v>
      </c>
      <c r="G25" s="1">
        <f>25*Project_Info!A6/30</f>
        <v>3333.3333333333335</v>
      </c>
      <c r="H25" t="s">
        <v>68</v>
      </c>
      <c r="I25" s="3">
        <v>2.5</v>
      </c>
      <c r="J25" s="3">
        <f>G25*I25</f>
        <v>8333.3333333333339</v>
      </c>
      <c r="K25" s="3"/>
      <c r="L25" s="3">
        <f t="shared" ref="L25:L30" si="5">MAX(0,J25 * E25 )</f>
        <v>16666.666666666668</v>
      </c>
      <c r="M25" s="3">
        <f t="shared" si="1"/>
        <v>1250</v>
      </c>
      <c r="N25" s="3"/>
      <c r="O25" t="s">
        <v>105</v>
      </c>
      <c r="P25" t="s">
        <v>81</v>
      </c>
    </row>
    <row r="26" spans="1:16" x14ac:dyDescent="0.3">
      <c r="A26" t="s">
        <v>27</v>
      </c>
      <c r="B26" t="s">
        <v>33</v>
      </c>
      <c r="C26" t="s">
        <v>55</v>
      </c>
      <c r="D26" s="4">
        <v>25</v>
      </c>
      <c r="E26" s="4">
        <f t="shared" si="0"/>
        <v>2</v>
      </c>
      <c r="F26" t="s">
        <v>77</v>
      </c>
      <c r="G26" s="1">
        <f>25*Project_Info!A6/30</f>
        <v>3333.3333333333335</v>
      </c>
      <c r="H26" t="s">
        <v>68</v>
      </c>
      <c r="I26" s="3">
        <v>2.2000000000000002</v>
      </c>
      <c r="J26" s="3">
        <f t="shared" ref="J26:J27" si="6">G26*I26</f>
        <v>7333.3333333333339</v>
      </c>
      <c r="K26" s="3"/>
      <c r="L26" s="3">
        <f t="shared" ref="L26:L27" si="7">MAX(0,J26 * E26 )</f>
        <v>14666.666666666668</v>
      </c>
      <c r="M26" s="3">
        <f t="shared" si="1"/>
        <v>1100</v>
      </c>
      <c r="N26" s="3"/>
      <c r="O26" t="s">
        <v>104</v>
      </c>
      <c r="P26" t="s">
        <v>79</v>
      </c>
    </row>
    <row r="27" spans="1:16" x14ac:dyDescent="0.3">
      <c r="A27" t="s">
        <v>27</v>
      </c>
      <c r="B27" t="s">
        <v>33</v>
      </c>
      <c r="C27" t="s">
        <v>55</v>
      </c>
      <c r="D27" s="4">
        <v>20</v>
      </c>
      <c r="E27" s="4">
        <f t="shared" si="0"/>
        <v>2</v>
      </c>
      <c r="F27" t="s">
        <v>76</v>
      </c>
      <c r="G27" s="1">
        <f>Project_Info!A6/2000*80</f>
        <v>160</v>
      </c>
      <c r="H27" t="s">
        <v>68</v>
      </c>
      <c r="I27" s="3">
        <v>3</v>
      </c>
      <c r="J27" s="3">
        <f t="shared" si="6"/>
        <v>480</v>
      </c>
      <c r="K27" s="3"/>
      <c r="L27" s="3">
        <f t="shared" si="7"/>
        <v>960</v>
      </c>
      <c r="M27" s="3">
        <f t="shared" si="1"/>
        <v>72</v>
      </c>
      <c r="N27" s="3"/>
      <c r="O27" t="s">
        <v>83</v>
      </c>
      <c r="P27" t="s">
        <v>82</v>
      </c>
    </row>
    <row r="28" spans="1:16" x14ac:dyDescent="0.3">
      <c r="A28" t="s">
        <v>27</v>
      </c>
      <c r="B28" t="s">
        <v>33</v>
      </c>
      <c r="C28" t="s">
        <v>55</v>
      </c>
      <c r="D28" s="4">
        <v>30</v>
      </c>
      <c r="E28" s="4">
        <f t="shared" si="0"/>
        <v>1</v>
      </c>
      <c r="F28" t="s">
        <v>72</v>
      </c>
      <c r="G28" s="1">
        <f>Project_Info!A6*15</f>
        <v>60000</v>
      </c>
      <c r="H28" t="s">
        <v>68</v>
      </c>
      <c r="I28" s="3">
        <v>2</v>
      </c>
      <c r="J28" s="3">
        <f t="shared" ref="J28:J29" si="8">G28*I28</f>
        <v>120000</v>
      </c>
      <c r="K28" s="3"/>
      <c r="L28" s="3">
        <f t="shared" si="5"/>
        <v>120000</v>
      </c>
      <c r="M28" s="3">
        <f t="shared" si="1"/>
        <v>18000</v>
      </c>
      <c r="N28" s="3"/>
      <c r="O28" t="s">
        <v>74</v>
      </c>
    </row>
    <row r="29" spans="1:16" x14ac:dyDescent="0.3">
      <c r="A29" t="s">
        <v>27</v>
      </c>
      <c r="B29" t="s">
        <v>33</v>
      </c>
      <c r="C29" t="s">
        <v>73</v>
      </c>
      <c r="D29" s="4">
        <v>40</v>
      </c>
      <c r="E29" s="4">
        <f t="shared" si="0"/>
        <v>1</v>
      </c>
      <c r="F29" t="s">
        <v>106</v>
      </c>
      <c r="G29" s="1">
        <f>Project_Info!A6*8</f>
        <v>32000</v>
      </c>
      <c r="H29" t="s">
        <v>68</v>
      </c>
      <c r="I29" s="3">
        <v>2.2000000000000002</v>
      </c>
      <c r="J29" s="3">
        <f t="shared" si="8"/>
        <v>70400</v>
      </c>
      <c r="K29" s="3"/>
      <c r="L29" s="3">
        <f t="shared" si="5"/>
        <v>70400</v>
      </c>
      <c r="M29" s="3">
        <f t="shared" si="1"/>
        <v>10560</v>
      </c>
      <c r="N29" s="3"/>
      <c r="O29" t="s">
        <v>75</v>
      </c>
    </row>
    <row r="30" spans="1:16" x14ac:dyDescent="0.3">
      <c r="A30" t="s">
        <v>27</v>
      </c>
      <c r="B30" t="s">
        <v>33</v>
      </c>
      <c r="C30" t="s">
        <v>55</v>
      </c>
      <c r="D30" s="4">
        <v>15</v>
      </c>
      <c r="E30" s="4">
        <f t="shared" si="0"/>
        <v>3</v>
      </c>
      <c r="F30" t="s">
        <v>84</v>
      </c>
      <c r="G30">
        <v>15</v>
      </c>
      <c r="H30" t="s">
        <v>68</v>
      </c>
      <c r="I30" s="3">
        <v>675</v>
      </c>
      <c r="J30" s="3">
        <f>D30*I30</f>
        <v>10125</v>
      </c>
      <c r="K30" s="3">
        <f>J30*2%*Project_Info!A4</f>
        <v>10125</v>
      </c>
      <c r="L30" s="3">
        <f t="shared" si="5"/>
        <v>30375</v>
      </c>
      <c r="M30" s="3">
        <f>5*675</f>
        <v>3375</v>
      </c>
      <c r="N30" s="3"/>
      <c r="O30" t="s">
        <v>87</v>
      </c>
    </row>
    <row r="31" spans="1:16" x14ac:dyDescent="0.3">
      <c r="A31" t="s">
        <v>27</v>
      </c>
      <c r="B31" t="s">
        <v>54</v>
      </c>
      <c r="C31" t="s">
        <v>34</v>
      </c>
      <c r="D31" s="4">
        <v>15</v>
      </c>
      <c r="E31" s="4">
        <f>INT(50 / D31)</f>
        <v>3</v>
      </c>
      <c r="F31" t="s">
        <v>70</v>
      </c>
      <c r="G31" s="1">
        <f>Project_Info!A6/8*5</f>
        <v>2500</v>
      </c>
      <c r="H31" t="s">
        <v>68</v>
      </c>
      <c r="I31" s="3">
        <v>6</v>
      </c>
      <c r="J31" s="3">
        <f t="shared" ref="J31:J38" si="9">G31*I31</f>
        <v>15000</v>
      </c>
      <c r="K31" s="3"/>
      <c r="L31" s="3">
        <f t="shared" ref="L31:L38" si="10">MAX(0,J31 * E31 )</f>
        <v>45000</v>
      </c>
      <c r="M31" s="3">
        <f t="shared" si="1"/>
        <v>2250</v>
      </c>
      <c r="N31" s="3"/>
      <c r="O31" t="s">
        <v>108</v>
      </c>
    </row>
    <row r="32" spans="1:16" x14ac:dyDescent="0.3">
      <c r="A32" t="s">
        <v>27</v>
      </c>
      <c r="B32" t="s">
        <v>54</v>
      </c>
      <c r="C32" t="s">
        <v>34</v>
      </c>
      <c r="D32" s="4">
        <v>30</v>
      </c>
      <c r="E32" s="4">
        <f>INT(50 / D32)</f>
        <v>1</v>
      </c>
      <c r="F32" t="s">
        <v>71</v>
      </c>
      <c r="G32" s="1">
        <f>Project_Info!A6*5</f>
        <v>20000</v>
      </c>
      <c r="H32" t="s">
        <v>68</v>
      </c>
      <c r="I32" s="3">
        <v>3.5</v>
      </c>
      <c r="J32" s="3">
        <f t="shared" si="9"/>
        <v>70000</v>
      </c>
      <c r="K32" s="3"/>
      <c r="L32" s="3">
        <f t="shared" si="10"/>
        <v>70000</v>
      </c>
      <c r="M32" s="3">
        <f t="shared" si="1"/>
        <v>10500</v>
      </c>
      <c r="N32" s="3">
        <f>-0.2*J32</f>
        <v>-14000</v>
      </c>
      <c r="O32" t="s">
        <v>109</v>
      </c>
    </row>
    <row r="33" spans="1:16" x14ac:dyDescent="0.3">
      <c r="A33" t="s">
        <v>27</v>
      </c>
      <c r="B33" t="s">
        <v>54</v>
      </c>
      <c r="C33" t="s">
        <v>95</v>
      </c>
      <c r="D33" s="4">
        <v>30</v>
      </c>
      <c r="E33" s="4">
        <f>INT(50 / D33)</f>
        <v>1</v>
      </c>
      <c r="F33" t="s">
        <v>96</v>
      </c>
      <c r="G33" s="1">
        <f>300+3*100</f>
        <v>600</v>
      </c>
      <c r="H33" t="s">
        <v>68</v>
      </c>
      <c r="I33" s="3">
        <v>4</v>
      </c>
      <c r="J33" s="3">
        <f t="shared" si="9"/>
        <v>2400</v>
      </c>
      <c r="K33" s="3"/>
      <c r="L33" s="3">
        <f t="shared" si="10"/>
        <v>2400</v>
      </c>
      <c r="M33" s="3">
        <f t="shared" si="1"/>
        <v>360</v>
      </c>
      <c r="N33" s="3"/>
      <c r="O33" t="s">
        <v>110</v>
      </c>
    </row>
    <row r="34" spans="1:16" x14ac:dyDescent="0.3">
      <c r="A34" t="s">
        <v>27</v>
      </c>
      <c r="B34" t="s">
        <v>54</v>
      </c>
      <c r="C34" t="s">
        <v>98</v>
      </c>
      <c r="D34" s="4">
        <v>30</v>
      </c>
      <c r="E34" s="4">
        <f>INT(50 / D34)</f>
        <v>1</v>
      </c>
      <c r="F34" t="s">
        <v>97</v>
      </c>
      <c r="G34" s="1">
        <f>Project_Info!A6/10*0.2</f>
        <v>80</v>
      </c>
      <c r="H34" t="s">
        <v>68</v>
      </c>
      <c r="I34" s="3">
        <v>3.5</v>
      </c>
      <c r="J34" s="3">
        <f t="shared" si="9"/>
        <v>280</v>
      </c>
      <c r="K34" s="3"/>
      <c r="L34" s="3">
        <f t="shared" si="10"/>
        <v>280</v>
      </c>
      <c r="M34" s="3">
        <f t="shared" si="1"/>
        <v>42</v>
      </c>
      <c r="N34" s="3"/>
      <c r="O34" t="s">
        <v>114</v>
      </c>
    </row>
    <row r="35" spans="1:16" x14ac:dyDescent="0.3">
      <c r="A35" t="s">
        <v>27</v>
      </c>
      <c r="B35" t="s">
        <v>43</v>
      </c>
      <c r="C35" t="s">
        <v>88</v>
      </c>
      <c r="D35" s="4">
        <v>50</v>
      </c>
      <c r="E35" s="4">
        <f t="shared" si="0"/>
        <v>1</v>
      </c>
      <c r="F35" t="s">
        <v>107</v>
      </c>
      <c r="G35" s="1">
        <f>Project_Info!A6*22</f>
        <v>88000</v>
      </c>
      <c r="H35" t="s">
        <v>68</v>
      </c>
      <c r="I35" s="3">
        <v>2.5</v>
      </c>
      <c r="J35" s="3">
        <f t="shared" si="9"/>
        <v>220000</v>
      </c>
      <c r="L35" s="3">
        <f t="shared" si="10"/>
        <v>220000</v>
      </c>
      <c r="M35" s="3">
        <f t="shared" si="1"/>
        <v>33000</v>
      </c>
      <c r="N35" s="3"/>
      <c r="O35" t="s">
        <v>90</v>
      </c>
    </row>
    <row r="36" spans="1:16" x14ac:dyDescent="0.3">
      <c r="A36" t="s">
        <v>27</v>
      </c>
      <c r="B36" t="s">
        <v>43</v>
      </c>
      <c r="C36" t="s">
        <v>89</v>
      </c>
      <c r="D36" s="4">
        <v>25</v>
      </c>
      <c r="E36" s="4">
        <f t="shared" si="0"/>
        <v>2</v>
      </c>
      <c r="F36" t="s">
        <v>92</v>
      </c>
      <c r="G36" s="1">
        <f>20*30+20*15</f>
        <v>900</v>
      </c>
      <c r="H36" t="s">
        <v>68</v>
      </c>
      <c r="I36" s="3">
        <v>2</v>
      </c>
      <c r="J36" s="3">
        <f t="shared" si="9"/>
        <v>1800</v>
      </c>
      <c r="L36" s="3">
        <f t="shared" si="10"/>
        <v>3600</v>
      </c>
      <c r="M36" s="3">
        <f t="shared" si="1"/>
        <v>270</v>
      </c>
      <c r="N36" s="3"/>
      <c r="O36" t="s">
        <v>91</v>
      </c>
    </row>
    <row r="37" spans="1:16" x14ac:dyDescent="0.3">
      <c r="A37" t="s">
        <v>27</v>
      </c>
      <c r="B37" t="s">
        <v>43</v>
      </c>
      <c r="C37" t="s">
        <v>93</v>
      </c>
      <c r="D37" s="4">
        <v>30</v>
      </c>
      <c r="E37" s="4">
        <f t="shared" si="0"/>
        <v>1</v>
      </c>
      <c r="F37" t="s">
        <v>93</v>
      </c>
      <c r="G37" s="1">
        <f>2*Project_Info!A6</f>
        <v>8000</v>
      </c>
      <c r="H37" t="s">
        <v>68</v>
      </c>
      <c r="I37" s="3">
        <v>2.5</v>
      </c>
      <c r="J37" s="3">
        <f t="shared" si="9"/>
        <v>20000</v>
      </c>
      <c r="L37" s="3">
        <f t="shared" si="10"/>
        <v>20000</v>
      </c>
      <c r="M37" s="3">
        <f t="shared" si="1"/>
        <v>3000</v>
      </c>
      <c r="N37" s="3"/>
      <c r="O37" t="s">
        <v>111</v>
      </c>
    </row>
    <row r="38" spans="1:16" x14ac:dyDescent="0.3">
      <c r="A38" t="s">
        <v>27</v>
      </c>
      <c r="B38" t="s">
        <v>43</v>
      </c>
      <c r="C38" t="s">
        <v>94</v>
      </c>
      <c r="D38" s="4">
        <v>20</v>
      </c>
      <c r="E38" s="4">
        <f t="shared" si="0"/>
        <v>2</v>
      </c>
      <c r="F38" t="s">
        <v>94</v>
      </c>
      <c r="G38" s="1">
        <f>1*Project_Info!A6</f>
        <v>4000</v>
      </c>
      <c r="H38" t="s">
        <v>68</v>
      </c>
      <c r="I38" s="3">
        <v>3</v>
      </c>
      <c r="J38" s="3">
        <f t="shared" si="9"/>
        <v>12000</v>
      </c>
      <c r="L38" s="3">
        <f t="shared" si="10"/>
        <v>24000</v>
      </c>
      <c r="M38" s="3">
        <f t="shared" si="1"/>
        <v>1800</v>
      </c>
      <c r="N38" s="3">
        <f>-0.2*J38</f>
        <v>-2400</v>
      </c>
      <c r="O38" t="s">
        <v>112</v>
      </c>
    </row>
    <row r="39" spans="1:16" x14ac:dyDescent="0.3">
      <c r="D39" s="4"/>
      <c r="E39" s="4"/>
      <c r="F39" s="2"/>
      <c r="G39" s="1"/>
    </row>
    <row r="40" spans="1:16" x14ac:dyDescent="0.3">
      <c r="A40" s="2" t="s">
        <v>2</v>
      </c>
      <c r="F40" s="2"/>
      <c r="J40" s="3">
        <f>SUM(J5:J38)</f>
        <v>3141751.666666667</v>
      </c>
      <c r="K40" s="3">
        <f>SUM(K5:K38)</f>
        <v>10125</v>
      </c>
      <c r="L40" s="3">
        <f>SUM(L5:L38)</f>
        <v>2515148.3333333335</v>
      </c>
      <c r="M40" s="3">
        <f>SUM(M5:M38)</f>
        <v>473119</v>
      </c>
      <c r="N40" s="3">
        <f>SUM(N5:N38)</f>
        <v>-539600</v>
      </c>
    </row>
    <row r="41" spans="1:16" x14ac:dyDescent="0.3">
      <c r="F41" s="7"/>
      <c r="G41" s="7"/>
      <c r="H41" s="7"/>
      <c r="I41" s="2"/>
      <c r="J41" s="7"/>
      <c r="K41" s="7"/>
      <c r="L41" s="7"/>
      <c r="M41" s="7"/>
      <c r="N41" s="7"/>
      <c r="O41" s="7"/>
      <c r="P41" s="2"/>
    </row>
    <row r="42" spans="1:16" x14ac:dyDescent="0.3">
      <c r="J42" s="3"/>
      <c r="K42" s="3"/>
      <c r="L42" s="3"/>
      <c r="M42" s="3"/>
      <c r="N42" s="3"/>
      <c r="O42" s="4"/>
    </row>
    <row r="43" spans="1:16" ht="15.6" customHeight="1" x14ac:dyDescent="0.3"/>
    <row r="44" spans="1:16" ht="15.6" customHeight="1" x14ac:dyDescent="0.3"/>
    <row r="45" spans="1:16" ht="15.6" customHeight="1" x14ac:dyDescent="0.3">
      <c r="F45" s="2"/>
      <c r="G45" s="7"/>
    </row>
    <row r="46" spans="1:16" ht="15.6" customHeight="1" x14ac:dyDescent="0.3">
      <c r="I46" s="4"/>
    </row>
    <row r="47" spans="1:16" ht="15.6" customHeight="1" x14ac:dyDescent="0.3">
      <c r="J47" s="4"/>
      <c r="K47" s="4"/>
      <c r="L47" s="4"/>
      <c r="M47" s="4"/>
      <c r="N47" s="4"/>
    </row>
    <row r="48" spans="1:16" x14ac:dyDescent="0.3">
      <c r="J48" s="4"/>
      <c r="K48" s="4"/>
      <c r="L48" s="4"/>
      <c r="M48" s="4"/>
      <c r="N48" s="4"/>
    </row>
    <row r="49" spans="6:14" x14ac:dyDescent="0.3">
      <c r="J49" s="4"/>
      <c r="K49" s="4"/>
      <c r="L49" s="4"/>
      <c r="M49" s="4"/>
      <c r="N49" s="4"/>
    </row>
    <row r="50" spans="6:14" x14ac:dyDescent="0.3">
      <c r="J50" s="4"/>
      <c r="K50" s="4"/>
      <c r="L50" s="4"/>
      <c r="M50" s="4"/>
      <c r="N50" s="4"/>
    </row>
    <row r="51" spans="6:14" x14ac:dyDescent="0.3">
      <c r="J51" s="4"/>
      <c r="K51" s="4"/>
      <c r="L51" s="4"/>
      <c r="M51" s="4"/>
      <c r="N51" s="4"/>
    </row>
    <row r="52" spans="6:14" x14ac:dyDescent="0.3">
      <c r="J52" s="8"/>
      <c r="K52" s="8"/>
      <c r="L52" s="8"/>
      <c r="M52" s="8"/>
      <c r="N52" s="8"/>
    </row>
    <row r="55" spans="6:14" x14ac:dyDescent="0.3">
      <c r="F55" s="2"/>
    </row>
    <row r="56" spans="6:14" x14ac:dyDescent="0.3">
      <c r="F56" s="7"/>
      <c r="G56" s="7"/>
      <c r="H56" s="7"/>
      <c r="I56" s="7"/>
      <c r="J56" s="7"/>
      <c r="K56" s="7"/>
      <c r="L56" s="7"/>
      <c r="M56" s="7"/>
      <c r="N56" s="7"/>
    </row>
    <row r="57" spans="6:14" x14ac:dyDescent="0.3">
      <c r="G57" s="4"/>
      <c r="I57" s="4"/>
      <c r="J57" s="4"/>
      <c r="K57" s="4"/>
      <c r="L57" s="4"/>
      <c r="M57" s="4"/>
      <c r="N57" s="4"/>
    </row>
    <row r="59" spans="6:14" x14ac:dyDescent="0.3">
      <c r="F59" s="2"/>
    </row>
    <row r="60" spans="6:14" x14ac:dyDescent="0.3">
      <c r="G60" s="2"/>
    </row>
    <row r="62" spans="6:14" x14ac:dyDescent="0.3">
      <c r="F62" s="2"/>
    </row>
    <row r="63" spans="6:14" x14ac:dyDescent="0.3">
      <c r="F63" s="2"/>
      <c r="H63" s="2"/>
      <c r="J63" s="2"/>
      <c r="K63" s="2"/>
      <c r="L63" s="2"/>
      <c r="M63" s="2"/>
      <c r="N63" s="2"/>
    </row>
    <row r="64" spans="6:14" x14ac:dyDescent="0.3">
      <c r="F64" s="4"/>
    </row>
    <row r="66" spans="6:7" x14ac:dyDescent="0.3">
      <c r="F66" s="2"/>
      <c r="G66" s="5"/>
    </row>
    <row r="67" spans="6:7" x14ac:dyDescent="0.3">
      <c r="F67" s="2"/>
      <c r="G67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970F-1FFE-460D-B239-188519EA788B}">
  <dimension ref="B2:F9"/>
  <sheetViews>
    <sheetView workbookViewId="0">
      <selection activeCell="B7" sqref="B7"/>
    </sheetView>
  </sheetViews>
  <sheetFormatPr defaultRowHeight="14.4" x14ac:dyDescent="0.3"/>
  <cols>
    <col min="2" max="2" width="36.109375" customWidth="1"/>
    <col min="3" max="3" width="23.21875" customWidth="1"/>
    <col min="4" max="5" width="23.77734375" customWidth="1"/>
    <col min="6" max="6" width="18.88671875" customWidth="1"/>
    <col min="7" max="7" width="23.33203125" customWidth="1"/>
  </cols>
  <sheetData>
    <row r="2" spans="2:6" x14ac:dyDescent="0.3">
      <c r="B2" s="2" t="s">
        <v>24</v>
      </c>
      <c r="C2" s="7" t="s">
        <v>115</v>
      </c>
      <c r="D2" s="2" t="s">
        <v>124</v>
      </c>
      <c r="E2" s="2"/>
      <c r="F2" s="2"/>
    </row>
    <row r="3" spans="2:6" x14ac:dyDescent="0.3">
      <c r="B3" t="s">
        <v>8</v>
      </c>
      <c r="C3" s="4">
        <v>0.15</v>
      </c>
    </row>
    <row r="4" spans="2:6" x14ac:dyDescent="0.3">
      <c r="B4" s="4">
        <v>45</v>
      </c>
      <c r="C4" s="4"/>
      <c r="D4" s="4">
        <f>B4*C3*Project_Info!A6</f>
        <v>27000</v>
      </c>
      <c r="E4" s="4"/>
    </row>
    <row r="5" spans="2:6" x14ac:dyDescent="0.3">
      <c r="B5" s="4" t="s">
        <v>6</v>
      </c>
      <c r="C5" s="4">
        <v>0.35</v>
      </c>
      <c r="D5" s="4"/>
      <c r="E5" s="4"/>
    </row>
    <row r="6" spans="2:6" x14ac:dyDescent="0.3">
      <c r="B6" s="4">
        <v>10</v>
      </c>
      <c r="C6" s="4"/>
      <c r="D6" s="4">
        <f>B6*C5*Project_Info!A6</f>
        <v>14000</v>
      </c>
      <c r="E6" s="4"/>
    </row>
    <row r="7" spans="2:6" x14ac:dyDescent="0.3">
      <c r="B7" s="4" t="s">
        <v>7</v>
      </c>
      <c r="C7" s="4">
        <v>0.35</v>
      </c>
      <c r="D7" s="4"/>
      <c r="E7" s="4"/>
    </row>
    <row r="8" spans="2:6" x14ac:dyDescent="0.3">
      <c r="B8" s="4">
        <v>25</v>
      </c>
      <c r="D8" s="4">
        <f>B8*C7*Project_Info!A6</f>
        <v>35000</v>
      </c>
      <c r="E8" s="4"/>
    </row>
    <row r="9" spans="2:6" x14ac:dyDescent="0.3">
      <c r="B9" s="2" t="s">
        <v>2</v>
      </c>
      <c r="D9" s="8">
        <f>(D4+D6+D8)*Project_Info!A4</f>
        <v>3800000</v>
      </c>
      <c r="E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08F9-141D-47BF-A309-393B5FEC7FDA}">
  <dimension ref="B2:G11"/>
  <sheetViews>
    <sheetView workbookViewId="0">
      <selection activeCell="D30" sqref="D30"/>
    </sheetView>
  </sheetViews>
  <sheetFormatPr defaultRowHeight="14.4" x14ac:dyDescent="0.3"/>
  <cols>
    <col min="2" max="2" width="36.77734375" customWidth="1"/>
    <col min="3" max="3" width="12.77734375" customWidth="1"/>
    <col min="4" max="4" width="15.21875" customWidth="1"/>
    <col min="5" max="6" width="12.77734375" customWidth="1"/>
    <col min="7" max="7" width="18.33203125" customWidth="1"/>
    <col min="8" max="9" width="12.77734375" customWidth="1"/>
  </cols>
  <sheetData>
    <row r="2" spans="2:7" x14ac:dyDescent="0.3">
      <c r="B2" s="2" t="s">
        <v>125</v>
      </c>
    </row>
    <row r="3" spans="2:7" x14ac:dyDescent="0.3">
      <c r="B3" s="4">
        <f>SUM('A-D'!J40+'A-D'!K40+'A-D'!L40+'A-D'!M40+'A-D'!N40+B6_Operation!D9)</f>
        <v>9400544</v>
      </c>
      <c r="C3" s="2"/>
    </row>
    <row r="4" spans="2:7" x14ac:dyDescent="0.3">
      <c r="B4" s="2" t="s">
        <v>126</v>
      </c>
      <c r="C4" s="5">
        <f>B3/Project_Info!A4/Project_Info!A6</f>
        <v>47.002720000000004</v>
      </c>
    </row>
    <row r="5" spans="2:7" x14ac:dyDescent="0.3">
      <c r="B5" s="2" t="s">
        <v>5</v>
      </c>
      <c r="C5" s="4"/>
    </row>
    <row r="6" spans="2:7" x14ac:dyDescent="0.3">
      <c r="B6" s="2"/>
      <c r="D6" s="2"/>
      <c r="F6" s="2"/>
      <c r="G6" s="2"/>
    </row>
    <row r="7" spans="2:7" x14ac:dyDescent="0.3">
      <c r="B7" s="2" t="s">
        <v>127</v>
      </c>
    </row>
    <row r="8" spans="2:7" x14ac:dyDescent="0.3">
      <c r="B8" s="2" t="str">
        <f>'A-D'!J4</f>
        <v>A1-A3 (kg CO2)</v>
      </c>
      <c r="C8" s="2" t="str">
        <f>'A-D'!K4</f>
        <v>B1–B2</v>
      </c>
      <c r="D8" s="2" t="str">
        <f>'A-D'!L4</f>
        <v>B4_Replacement</v>
      </c>
      <c r="E8" s="2" t="str">
        <f>B6_Operation!B2</f>
        <v>B6_Operation</v>
      </c>
      <c r="F8" s="2" t="str">
        <f>'A-D'!M4</f>
        <v>C_Demolition</v>
      </c>
      <c r="G8" s="2" t="str">
        <f>'A-D'!N4</f>
        <v>D_ avoided burden</v>
      </c>
    </row>
    <row r="9" spans="2:7" x14ac:dyDescent="0.3">
      <c r="B9" s="4">
        <f>'A-D'!J40</f>
        <v>3141751.666666667</v>
      </c>
      <c r="C9" s="4">
        <f>'A-D'!K40</f>
        <v>10125</v>
      </c>
      <c r="D9" s="4">
        <f>'A-D'!L40</f>
        <v>2515148.3333333335</v>
      </c>
      <c r="E9" s="4">
        <f>B6_Operation!D9</f>
        <v>3800000</v>
      </c>
      <c r="F9" s="4">
        <f>'A-D'!M40</f>
        <v>473119</v>
      </c>
      <c r="G9" s="4">
        <f>'A-D'!N40</f>
        <v>-539600</v>
      </c>
    </row>
    <row r="10" spans="2:7" x14ac:dyDescent="0.3">
      <c r="B10" s="9">
        <f>B9/B3</f>
        <v>0.33420955921983525</v>
      </c>
      <c r="C10" s="9">
        <f>C9/B3</f>
        <v>1.077065327283187E-3</v>
      </c>
      <c r="D10" s="9">
        <f>D9/B3</f>
        <v>0.26755348768468434</v>
      </c>
      <c r="E10" s="9">
        <f>E9/B3</f>
        <v>0.40423192530134427</v>
      </c>
      <c r="F10" s="9">
        <f>F9/B3</f>
        <v>5.0328895859643868E-2</v>
      </c>
      <c r="G10" s="9">
        <f>G9/B3</f>
        <v>-5.7400933392790884E-2</v>
      </c>
    </row>
    <row r="11" spans="2:7" x14ac:dyDescent="0.3">
      <c r="B11" s="4"/>
      <c r="C11" s="4"/>
      <c r="D11" s="4"/>
      <c r="E11" s="4"/>
      <c r="F11" s="4"/>
      <c r="G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5663-D037-4D74-9299-200E05DECE76}">
  <dimension ref="B2:J8"/>
  <sheetViews>
    <sheetView workbookViewId="0">
      <selection activeCell="J13" sqref="J13"/>
    </sheetView>
  </sheetViews>
  <sheetFormatPr defaultRowHeight="14.4" x14ac:dyDescent="0.3"/>
  <cols>
    <col min="2" max="2" width="29.33203125" customWidth="1"/>
    <col min="4" max="5" width="13" customWidth="1"/>
    <col min="7" max="7" width="12" customWidth="1"/>
    <col min="9" max="9" width="19.6640625" customWidth="1"/>
    <col min="10" max="10" width="26.21875" customWidth="1"/>
  </cols>
  <sheetData>
    <row r="2" spans="2:10" x14ac:dyDescent="0.3">
      <c r="B2" s="2" t="s">
        <v>128</v>
      </c>
      <c r="C2" s="2" t="s">
        <v>129</v>
      </c>
      <c r="D2" s="2" t="s">
        <v>140</v>
      </c>
      <c r="E2" s="2" t="s">
        <v>142</v>
      </c>
      <c r="F2" s="2" t="s">
        <v>130</v>
      </c>
      <c r="G2" s="2" t="s">
        <v>4</v>
      </c>
      <c r="H2" s="2" t="s">
        <v>135</v>
      </c>
      <c r="I2" s="8" t="s">
        <v>131</v>
      </c>
      <c r="J2" s="8" t="s">
        <v>136</v>
      </c>
    </row>
    <row r="3" spans="2:10" x14ac:dyDescent="0.3">
      <c r="B3" t="s">
        <v>132</v>
      </c>
      <c r="C3" s="4">
        <f>B6_Operation!B4</f>
        <v>45</v>
      </c>
      <c r="D3" t="s">
        <v>139</v>
      </c>
      <c r="E3">
        <v>0.9</v>
      </c>
      <c r="F3" s="4">
        <v>1.2</v>
      </c>
      <c r="G3" s="4">
        <f>Project_Info!A6</f>
        <v>4000</v>
      </c>
      <c r="H3" s="4">
        <f>Project_Info!A4</f>
        <v>50</v>
      </c>
      <c r="I3" s="4">
        <f>C3*F3*G3*H3/E3</f>
        <v>12000000</v>
      </c>
      <c r="J3" s="4">
        <f>C3*F3/E3</f>
        <v>60</v>
      </c>
    </row>
    <row r="4" spans="2:10" x14ac:dyDescent="0.3">
      <c r="B4" t="s">
        <v>133</v>
      </c>
      <c r="C4" s="4">
        <f>B6_Operation!B6</f>
        <v>10</v>
      </c>
      <c r="D4" t="s">
        <v>141</v>
      </c>
      <c r="E4">
        <v>3.5</v>
      </c>
      <c r="F4" s="4">
        <v>2.4</v>
      </c>
      <c r="G4" s="4">
        <f>Project_Info!A6</f>
        <v>4000</v>
      </c>
      <c r="H4" s="4">
        <f>Project_Info!A4</f>
        <v>50</v>
      </c>
      <c r="I4" s="4">
        <f>C4*F4*G4*H4/E4</f>
        <v>1371428.5714285714</v>
      </c>
      <c r="J4" s="4">
        <f t="shared" ref="J4:J5" si="0">C4*F4/E4</f>
        <v>6.8571428571428568</v>
      </c>
    </row>
    <row r="5" spans="2:10" x14ac:dyDescent="0.3">
      <c r="B5" t="s">
        <v>134</v>
      </c>
      <c r="C5" s="4">
        <f>B6_Operation!B8</f>
        <v>25</v>
      </c>
      <c r="D5" t="s">
        <v>141</v>
      </c>
      <c r="E5">
        <v>1</v>
      </c>
      <c r="F5" s="4">
        <v>2.4</v>
      </c>
      <c r="G5" s="4">
        <f>Project_Info!A6</f>
        <v>4000</v>
      </c>
      <c r="H5" s="4">
        <f>Project_Info!A4</f>
        <v>50</v>
      </c>
      <c r="I5" s="4">
        <f>C5*F5*G5*H5/E5</f>
        <v>12000000</v>
      </c>
      <c r="J5" s="4">
        <f t="shared" si="0"/>
        <v>60</v>
      </c>
    </row>
    <row r="6" spans="2:10" x14ac:dyDescent="0.3">
      <c r="I6" s="4"/>
      <c r="J6" s="4"/>
    </row>
    <row r="7" spans="2:10" x14ac:dyDescent="0.3">
      <c r="B7" s="2" t="s">
        <v>137</v>
      </c>
      <c r="I7" s="8">
        <f>SUM(I3:I5)</f>
        <v>25371428.571428571</v>
      </c>
      <c r="J7" s="10">
        <f>SUM(J3:J5)</f>
        <v>126.85714285714286</v>
      </c>
    </row>
    <row r="8" spans="2:10" x14ac:dyDescent="0.3">
      <c r="J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Project_Info</vt:lpstr>
      <vt:lpstr>A-D</vt:lpstr>
      <vt:lpstr>B6_Operation</vt:lpstr>
      <vt:lpstr>LCA Summary</vt:lpstr>
      <vt:lpstr>Primary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Xusheng Li</dc:creator>
  <cp:lastModifiedBy>Xusheng Li</cp:lastModifiedBy>
  <dcterms:created xsi:type="dcterms:W3CDTF">2015-06-05T18:17:20Z</dcterms:created>
  <dcterms:modified xsi:type="dcterms:W3CDTF">2026-05-03T08:02:29Z</dcterms:modified>
</cp:coreProperties>
</file>